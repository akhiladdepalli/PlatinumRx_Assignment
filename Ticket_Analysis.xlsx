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KHILESH\Downloads\platinum\Spreadsheets\"/>
    </mc:Choice>
  </mc:AlternateContent>
  <xr:revisionPtr revIDLastSave="0" documentId="13_ncr:1_{506B8DA7-B323-4B93-AF41-86DAD69E3D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cket" sheetId="1" r:id="rId1"/>
    <sheet name="feedbacks" sheetId="2" r:id="rId2"/>
    <sheet name="Analys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B5" i="3" s="1"/>
  <c r="F11" i="1"/>
  <c r="F12" i="1"/>
  <c r="B6" i="3"/>
  <c r="D12" i="2"/>
  <c r="D11" i="2"/>
  <c r="D10" i="2"/>
  <c r="D9" i="2"/>
  <c r="D8" i="2"/>
  <c r="D7" i="2"/>
  <c r="D6" i="2"/>
  <c r="D5" i="2"/>
  <c r="D4" i="2"/>
  <c r="D3" i="2"/>
  <c r="B7" i="3"/>
  <c r="B13" i="3" l="1"/>
  <c r="B12" i="3"/>
  <c r="B14" i="3" l="1"/>
</calcChain>
</file>

<file path=xl/sharedStrings.xml><?xml version="1.0" encoding="utf-8"?>
<sst xmlns="http://schemas.openxmlformats.org/spreadsheetml/2006/main" count="98" uniqueCount="71">
  <si>
    <t>🎫  Ticket Data</t>
  </si>
  <si>
    <t>ticket_id</t>
  </si>
  <si>
    <t>created_at</t>
  </si>
  <si>
    <t>closed_at</t>
  </si>
  <si>
    <t>outlet_id</t>
  </si>
  <si>
    <t>cms_id</t>
  </si>
  <si>
    <t>Same Day?</t>
  </si>
  <si>
    <t>Same Hour?</t>
  </si>
  <si>
    <t>isu-sjd-457</t>
  </si>
  <si>
    <t>2021-08-19 16:45:43</t>
  </si>
  <si>
    <t>2021-08-22 12:33:32</t>
  </si>
  <si>
    <t>wrqy-juv-978</t>
  </si>
  <si>
    <t>vew-iuvd-12</t>
  </si>
  <si>
    <t>qer-fal-092</t>
  </si>
  <si>
    <t>2021-08-21 11:09:22</t>
  </si>
  <si>
    <t>2021-08-21 17:13:45</t>
  </si>
  <si>
    <t>8woh-k3u-23b</t>
  </si>
  <si>
    <t>cms-abc-001</t>
  </si>
  <si>
    <t>tck-mnp-301</t>
  </si>
  <si>
    <t>2021-08-22 09:15:00</t>
  </si>
  <si>
    <t>2021-08-22 09:58:10</t>
  </si>
  <si>
    <t>cms-xyz-002</t>
  </si>
  <si>
    <t>tck-bcd-410</t>
  </si>
  <si>
    <t>2021-08-23 14:00:05</t>
  </si>
  <si>
    <t>2021-08-23 14:45:20</t>
  </si>
  <si>
    <t>cms-def-003</t>
  </si>
  <si>
    <t>tck-efg-522</t>
  </si>
  <si>
    <t>2021-08-24 08:30:00</t>
  </si>
  <si>
    <t>2021-08-25 10:00:00</t>
  </si>
  <si>
    <t>cms-ghi-004</t>
  </si>
  <si>
    <t>tck-hij-633</t>
  </si>
  <si>
    <t>2021-08-24 11:00:00</t>
  </si>
  <si>
    <t>2021-08-24 11:55:00</t>
  </si>
  <si>
    <t>ouv-lmn-445</t>
  </si>
  <si>
    <t>cms-jkl-005</t>
  </si>
  <si>
    <t>tck-klm-744</t>
  </si>
  <si>
    <t>2021-08-25 15:20:00</t>
  </si>
  <si>
    <t>2021-08-25 15:50:00</t>
  </si>
  <si>
    <t>cms-mno-006</t>
  </si>
  <si>
    <t>tck-nop-855</t>
  </si>
  <si>
    <t>2021-08-26 09:00:00</t>
  </si>
  <si>
    <t>2021-08-27 09:00:00</t>
  </si>
  <si>
    <t>cms-pqr-007</t>
  </si>
  <si>
    <t>tck-qrs-966</t>
  </si>
  <si>
    <t>2021-08-26 13:10:00</t>
  </si>
  <si>
    <t>2021-08-26 13:55:00</t>
  </si>
  <si>
    <t>cms-stu-008</t>
  </si>
  <si>
    <t>tck-tuv-077</t>
  </si>
  <si>
    <t>2021-08-27 10:00:00</t>
  </si>
  <si>
    <t>2021-08-27 10:40:00</t>
  </si>
  <si>
    <t>cms-vwx-009</t>
  </si>
  <si>
    <t>💬  Feedbacks Data</t>
  </si>
  <si>
    <t>feedback_at</t>
  </si>
  <si>
    <t>feedback_rating</t>
  </si>
  <si>
    <t>ticket_created_at</t>
  </si>
  <si>
    <t>2021-08-21 13:26:48</t>
  </si>
  <si>
    <t>2021-08-22 08:00:00</t>
  </si>
  <si>
    <t>2021-08-23 10:30:00</t>
  </si>
  <si>
    <t>2021-08-24 09:00:00</t>
  </si>
  <si>
    <t>2021-08-26 11:00:00</t>
  </si>
  <si>
    <t>2021-08-25 12:00:00</t>
  </si>
  <si>
    <t>2021-08-26 16:00:00</t>
  </si>
  <si>
    <t>2021-08-28 10:00:00</t>
  </si>
  <si>
    <t>2021-08-28 11:00:00</t>
  </si>
  <si>
    <t>📊  Outlet-wise Ticket Analysis</t>
  </si>
  <si>
    <t>Part (a): Same Day Tickets Closed</t>
  </si>
  <si>
    <t>Count (Same Day)</t>
  </si>
  <si>
    <t>Part (b): Same Hour of Same Day Tickets Closed</t>
  </si>
  <si>
    <t>Count (Same Hour of Same Day)</t>
  </si>
  <si>
    <t>Resolution Time (Hours)</t>
  </si>
  <si>
    <t>Resolution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</si>
</sst>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b/>
      <sz val="11"/>
      <color rgb="FFFFFFFF"/>
      <name val="Calibri"/>
    </font>
    <font>
      <sz val="10"/>
      <name val="Calibri"/>
    </font>
    <font>
      <i/>
      <sz val="10"/>
      <color rgb="FF4A0072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EAF4E7"/>
      </patternFill>
    </fill>
    <fill>
      <patternFill patternType="solid">
        <fgColor rgb="FFFFF2CC"/>
      </patternFill>
    </fill>
    <fill>
      <patternFill patternType="solid">
        <fgColor rgb="FF7B2D8B"/>
      </patternFill>
    </fill>
    <fill>
      <patternFill patternType="solid">
        <fgColor rgb="FFF4E6FF"/>
      </patternFill>
    </fill>
    <fill>
      <patternFill patternType="solid">
        <fgColor rgb="FFFCE4D6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7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pane ySplit="2" topLeftCell="A3" activePane="bottomLeft" state="frozen"/>
      <selection pane="bottomLeft" activeCell="H17" sqref="H17"/>
    </sheetView>
  </sheetViews>
  <sheetFormatPr defaultRowHeight="14.4" x14ac:dyDescent="0.3"/>
  <cols>
    <col min="1" max="1" width="14" customWidth="1"/>
    <col min="2" max="3" width="22" customWidth="1"/>
    <col min="4" max="5" width="16" customWidth="1"/>
    <col min="6" max="7" width="12" customWidth="1"/>
    <col min="8" max="8" width="21.44140625" bestFit="1" customWidth="1"/>
    <col min="9" max="9" width="18.109375" bestFit="1" customWidth="1"/>
  </cols>
  <sheetData>
    <row r="1" spans="1:9" ht="28.0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</row>
    <row r="2" spans="1:9" ht="22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2" t="s">
        <v>7</v>
      </c>
      <c r="H2" s="2" t="s">
        <v>69</v>
      </c>
      <c r="I2" s="2" t="s">
        <v>70</v>
      </c>
    </row>
    <row r="3" spans="1:9" x14ac:dyDescent="0.3">
      <c r="A3" s="3" t="s">
        <v>8</v>
      </c>
      <c r="B3" s="4" t="s">
        <v>9</v>
      </c>
      <c r="C3" s="4" t="s">
        <v>10</v>
      </c>
      <c r="D3" s="3" t="s">
        <v>11</v>
      </c>
      <c r="E3" s="3" t="s">
        <v>12</v>
      </c>
      <c r="F3" s="5" t="str">
        <f>IF(INT(B3)=INT(C3),"Yes","No")</f>
        <v>No</v>
      </c>
      <c r="G3" s="5" t="str">
        <f>IF(TEXT(B3,"yyyy-mm-dd hh")=TEXT(C3,"yyyy-mm-dd hh"),"Yes","No")</f>
        <v>No</v>
      </c>
      <c r="H3" s="5">
        <f>ROUND((C3 - B3) * 24,2)</f>
        <v>67.8</v>
      </c>
      <c r="I3" t="str">
        <f>IF((C3-B3)*24 &lt;= 1,"Fast","Slow")</f>
        <v>Slow</v>
      </c>
    </row>
    <row r="4" spans="1:9" x14ac:dyDescent="0.3">
      <c r="A4" s="6" t="s">
        <v>13</v>
      </c>
      <c r="B4" s="7" t="s">
        <v>14</v>
      </c>
      <c r="C4" s="7" t="s">
        <v>15</v>
      </c>
      <c r="D4" s="6" t="s">
        <v>16</v>
      </c>
      <c r="E4" s="6" t="s">
        <v>17</v>
      </c>
      <c r="F4" s="5" t="str">
        <f t="shared" ref="F4:F12" si="0">IF(INT(B4)=INT(C4),"Yes","No")</f>
        <v>Yes</v>
      </c>
      <c r="G4" s="5" t="str">
        <f t="shared" ref="G4:G12" si="1">IF(TEXT(B4,"yyyy-mm-dd hh")=TEXT(C4,"yyyy-mm-dd hh"),"Yes","No")</f>
        <v>No</v>
      </c>
      <c r="H4" s="5">
        <f t="shared" ref="H4:H12" si="2">ROUND((C4 - B4) * 24,2)</f>
        <v>6.07</v>
      </c>
      <c r="I4" t="str">
        <f t="shared" ref="I4:I12" si="3">IF((C4-B4)*24 &lt;= 1,"Fast","Slow")</f>
        <v>Slow</v>
      </c>
    </row>
    <row r="5" spans="1:9" x14ac:dyDescent="0.3">
      <c r="A5" s="3" t="s">
        <v>18</v>
      </c>
      <c r="B5" s="4" t="s">
        <v>19</v>
      </c>
      <c r="C5" s="4" t="s">
        <v>20</v>
      </c>
      <c r="D5" s="3" t="s">
        <v>11</v>
      </c>
      <c r="E5" s="3" t="s">
        <v>21</v>
      </c>
      <c r="F5" s="5" t="str">
        <f t="shared" si="0"/>
        <v>Yes</v>
      </c>
      <c r="G5" s="5" t="str">
        <f t="shared" si="1"/>
        <v>Yes</v>
      </c>
      <c r="H5" s="5">
        <f t="shared" si="2"/>
        <v>0.72</v>
      </c>
      <c r="I5" t="str">
        <f t="shared" si="3"/>
        <v>Fast</v>
      </c>
    </row>
    <row r="6" spans="1:9" x14ac:dyDescent="0.3">
      <c r="A6" s="6" t="s">
        <v>22</v>
      </c>
      <c r="B6" s="7" t="s">
        <v>23</v>
      </c>
      <c r="C6" s="7" t="s">
        <v>24</v>
      </c>
      <c r="D6" s="6" t="s">
        <v>16</v>
      </c>
      <c r="E6" s="6" t="s">
        <v>25</v>
      </c>
      <c r="F6" s="5" t="str">
        <f t="shared" si="0"/>
        <v>Yes</v>
      </c>
      <c r="G6" s="5" t="str">
        <f t="shared" si="1"/>
        <v>Yes</v>
      </c>
      <c r="H6" s="5">
        <f t="shared" si="2"/>
        <v>0.75</v>
      </c>
      <c r="I6" t="str">
        <f t="shared" si="3"/>
        <v>Fast</v>
      </c>
    </row>
    <row r="7" spans="1:9" x14ac:dyDescent="0.3">
      <c r="A7" s="3" t="s">
        <v>26</v>
      </c>
      <c r="B7" s="4" t="s">
        <v>27</v>
      </c>
      <c r="C7" s="4" t="s">
        <v>28</v>
      </c>
      <c r="D7" s="3" t="s">
        <v>11</v>
      </c>
      <c r="E7" s="3" t="s">
        <v>29</v>
      </c>
      <c r="F7" s="5" t="str">
        <f t="shared" si="0"/>
        <v>No</v>
      </c>
      <c r="G7" s="5" t="str">
        <f t="shared" si="1"/>
        <v>No</v>
      </c>
      <c r="H7" s="5">
        <f t="shared" si="2"/>
        <v>25.5</v>
      </c>
      <c r="I7" t="str">
        <f t="shared" si="3"/>
        <v>Slow</v>
      </c>
    </row>
    <row r="8" spans="1:9" x14ac:dyDescent="0.3">
      <c r="A8" s="6" t="s">
        <v>30</v>
      </c>
      <c r="B8" s="7" t="s">
        <v>31</v>
      </c>
      <c r="C8" s="7" t="s">
        <v>32</v>
      </c>
      <c r="D8" s="6" t="s">
        <v>33</v>
      </c>
      <c r="E8" s="6" t="s">
        <v>34</v>
      </c>
      <c r="F8" s="5" t="str">
        <f t="shared" si="0"/>
        <v>Yes</v>
      </c>
      <c r="G8" s="5" t="str">
        <f t="shared" si="1"/>
        <v>Yes</v>
      </c>
      <c r="H8" s="5">
        <f t="shared" si="2"/>
        <v>0.92</v>
      </c>
      <c r="I8" t="str">
        <f t="shared" si="3"/>
        <v>Fast</v>
      </c>
    </row>
    <row r="9" spans="1:9" x14ac:dyDescent="0.3">
      <c r="A9" s="3" t="s">
        <v>35</v>
      </c>
      <c r="B9" s="4" t="s">
        <v>36</v>
      </c>
      <c r="C9" s="4" t="s">
        <v>37</v>
      </c>
      <c r="D9" s="3" t="s">
        <v>33</v>
      </c>
      <c r="E9" s="3" t="s">
        <v>38</v>
      </c>
      <c r="F9" s="5" t="str">
        <f t="shared" si="0"/>
        <v>Yes</v>
      </c>
      <c r="G9" s="5" t="str">
        <f t="shared" si="1"/>
        <v>Yes</v>
      </c>
      <c r="H9" s="5">
        <f t="shared" si="2"/>
        <v>0.5</v>
      </c>
      <c r="I9" t="str">
        <f t="shared" si="3"/>
        <v>Fast</v>
      </c>
    </row>
    <row r="10" spans="1:9" x14ac:dyDescent="0.3">
      <c r="A10" s="6" t="s">
        <v>39</v>
      </c>
      <c r="B10" s="7" t="s">
        <v>40</v>
      </c>
      <c r="C10" s="7" t="s">
        <v>41</v>
      </c>
      <c r="D10" s="6" t="s">
        <v>16</v>
      </c>
      <c r="E10" s="6" t="s">
        <v>42</v>
      </c>
      <c r="F10" s="5" t="str">
        <f t="shared" si="0"/>
        <v>No</v>
      </c>
      <c r="G10" s="5" t="str">
        <f t="shared" si="1"/>
        <v>No</v>
      </c>
      <c r="H10" s="5">
        <f t="shared" si="2"/>
        <v>24</v>
      </c>
      <c r="I10" t="str">
        <f t="shared" si="3"/>
        <v>Slow</v>
      </c>
    </row>
    <row r="11" spans="1:9" x14ac:dyDescent="0.3">
      <c r="A11" s="3" t="s">
        <v>43</v>
      </c>
      <c r="B11" s="4" t="s">
        <v>44</v>
      </c>
      <c r="C11" s="4" t="s">
        <v>45</v>
      </c>
      <c r="D11" s="3" t="s">
        <v>11</v>
      </c>
      <c r="E11" s="3" t="s">
        <v>46</v>
      </c>
      <c r="F11" s="5" t="str">
        <f t="shared" si="0"/>
        <v>Yes</v>
      </c>
      <c r="G11" s="5" t="str">
        <f t="shared" si="1"/>
        <v>Yes</v>
      </c>
      <c r="H11" s="5">
        <f t="shared" si="2"/>
        <v>0.75</v>
      </c>
      <c r="I11" t="str">
        <f t="shared" si="3"/>
        <v>Fast</v>
      </c>
    </row>
    <row r="12" spans="1:9" x14ac:dyDescent="0.3">
      <c r="A12" s="6" t="s">
        <v>47</v>
      </c>
      <c r="B12" s="7" t="s">
        <v>48</v>
      </c>
      <c r="C12" s="7" t="s">
        <v>49</v>
      </c>
      <c r="D12" s="6" t="s">
        <v>33</v>
      </c>
      <c r="E12" s="6" t="s">
        <v>50</v>
      </c>
      <c r="F12" s="5" t="str">
        <f t="shared" si="0"/>
        <v>Yes</v>
      </c>
      <c r="G12" s="5" t="str">
        <f t="shared" si="1"/>
        <v>Yes</v>
      </c>
      <c r="H12" s="5">
        <f t="shared" si="2"/>
        <v>0.67</v>
      </c>
      <c r="I12" t="str">
        <f t="shared" si="3"/>
        <v>Fast</v>
      </c>
    </row>
    <row r="13" spans="1:9" x14ac:dyDescent="0.3">
      <c r="H13" s="5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pane ySplit="2" topLeftCell="A3" activePane="bottomLeft" state="frozen"/>
      <selection pane="bottomLeft" sqref="A1:D1"/>
    </sheetView>
  </sheetViews>
  <sheetFormatPr defaultRowHeight="14.4" x14ac:dyDescent="0.3"/>
  <cols>
    <col min="1" max="1" width="16" customWidth="1"/>
    <col min="2" max="2" width="22" customWidth="1"/>
    <col min="3" max="3" width="16" customWidth="1"/>
    <col min="4" max="4" width="22" customWidth="1"/>
  </cols>
  <sheetData>
    <row r="1" spans="1:4" ht="28.05" customHeight="1" x14ac:dyDescent="0.3">
      <c r="A1" s="14" t="s">
        <v>51</v>
      </c>
      <c r="B1" s="13"/>
      <c r="C1" s="13"/>
      <c r="D1" s="13"/>
    </row>
    <row r="2" spans="1:4" ht="22.05" customHeight="1" x14ac:dyDescent="0.3">
      <c r="A2" s="1" t="s">
        <v>5</v>
      </c>
      <c r="B2" s="1" t="s">
        <v>52</v>
      </c>
      <c r="C2" s="1" t="s">
        <v>53</v>
      </c>
      <c r="D2" s="8" t="s">
        <v>54</v>
      </c>
    </row>
    <row r="3" spans="1:4" x14ac:dyDescent="0.3">
      <c r="A3" s="3" t="s">
        <v>12</v>
      </c>
      <c r="B3" s="4" t="s">
        <v>55</v>
      </c>
      <c r="C3" s="3">
        <v>3</v>
      </c>
      <c r="D3" s="9" t="str">
        <f>IFERROR(INDEX(ticket!$B$3:$B$12,MATCH(A3,ticket!$E$3:$E$12,0)),"Not Found")</f>
        <v>2021-08-19 16:45:43</v>
      </c>
    </row>
    <row r="4" spans="1:4" x14ac:dyDescent="0.3">
      <c r="A4" s="6" t="s">
        <v>17</v>
      </c>
      <c r="B4" s="7" t="s">
        <v>56</v>
      </c>
      <c r="C4" s="6">
        <v>5</v>
      </c>
      <c r="D4" s="9" t="str">
        <f>IFERROR(INDEX(ticket!$B$3:$B$12,MATCH(A4,ticket!$E$3:$E$12,0)),"Not Found")</f>
        <v>2021-08-21 11:09:22</v>
      </c>
    </row>
    <row r="5" spans="1:4" x14ac:dyDescent="0.3">
      <c r="A5" s="3" t="s">
        <v>21</v>
      </c>
      <c r="B5" s="4" t="s">
        <v>57</v>
      </c>
      <c r="C5" s="3">
        <v>4</v>
      </c>
      <c r="D5" s="9" t="str">
        <f>IFERROR(INDEX(ticket!$B$3:$B$12,MATCH(A5,ticket!$E$3:$E$12,0)),"Not Found")</f>
        <v>2021-08-22 09:15:00</v>
      </c>
    </row>
    <row r="6" spans="1:4" x14ac:dyDescent="0.3">
      <c r="A6" s="6" t="s">
        <v>25</v>
      </c>
      <c r="B6" s="7" t="s">
        <v>58</v>
      </c>
      <c r="C6" s="6">
        <v>2</v>
      </c>
      <c r="D6" s="9" t="str">
        <f>IFERROR(INDEX(ticket!$B$3:$B$12,MATCH(A6,ticket!$E$3:$E$12,0)),"Not Found")</f>
        <v>2021-08-23 14:00:05</v>
      </c>
    </row>
    <row r="7" spans="1:4" x14ac:dyDescent="0.3">
      <c r="A7" s="3" t="s">
        <v>29</v>
      </c>
      <c r="B7" s="4" t="s">
        <v>59</v>
      </c>
      <c r="C7" s="3">
        <v>5</v>
      </c>
      <c r="D7" s="9" t="str">
        <f>IFERROR(INDEX(ticket!$B$3:$B$12,MATCH(A7,ticket!$E$3:$E$12,0)),"Not Found")</f>
        <v>2021-08-24 08:30:00</v>
      </c>
    </row>
    <row r="8" spans="1:4" x14ac:dyDescent="0.3">
      <c r="A8" s="6" t="s">
        <v>34</v>
      </c>
      <c r="B8" s="7" t="s">
        <v>60</v>
      </c>
      <c r="C8" s="6">
        <v>3</v>
      </c>
      <c r="D8" s="9" t="str">
        <f>IFERROR(INDEX(ticket!$B$3:$B$12,MATCH(A8,ticket!$E$3:$E$12,0)),"Not Found")</f>
        <v>2021-08-24 11:00:00</v>
      </c>
    </row>
    <row r="9" spans="1:4" x14ac:dyDescent="0.3">
      <c r="A9" s="3" t="s">
        <v>38</v>
      </c>
      <c r="B9" s="4" t="s">
        <v>61</v>
      </c>
      <c r="C9" s="3">
        <v>4</v>
      </c>
      <c r="D9" s="9" t="str">
        <f>IFERROR(INDEX(ticket!$B$3:$B$12,MATCH(A9,ticket!$E$3:$E$12,0)),"Not Found")</f>
        <v>2021-08-25 15:20:00</v>
      </c>
    </row>
    <row r="10" spans="1:4" x14ac:dyDescent="0.3">
      <c r="A10" s="6" t="s">
        <v>42</v>
      </c>
      <c r="B10" s="7" t="s">
        <v>62</v>
      </c>
      <c r="C10" s="6">
        <v>1</v>
      </c>
      <c r="D10" s="9" t="str">
        <f>IFERROR(INDEX(ticket!$B$3:$B$12,MATCH(A10,ticket!$E$3:$E$12,0)),"Not Found")</f>
        <v>2021-08-26 09:00:00</v>
      </c>
    </row>
    <row r="11" spans="1:4" x14ac:dyDescent="0.3">
      <c r="A11" s="3" t="s">
        <v>46</v>
      </c>
      <c r="B11" s="4" t="s">
        <v>41</v>
      </c>
      <c r="C11" s="3">
        <v>5</v>
      </c>
      <c r="D11" s="9" t="str">
        <f>IFERROR(INDEX(ticket!$B$3:$B$12,MATCH(A11,ticket!$E$3:$E$12,0)),"Not Found")</f>
        <v>2021-08-26 13:10:00</v>
      </c>
    </row>
    <row r="12" spans="1:4" x14ac:dyDescent="0.3">
      <c r="A12" s="6" t="s">
        <v>50</v>
      </c>
      <c r="B12" s="7" t="s">
        <v>63</v>
      </c>
      <c r="C12" s="6">
        <v>4</v>
      </c>
      <c r="D12" s="9" t="str">
        <f>IFERROR(INDEX(ticket!$B$3:$B$12,MATCH(A12,ticket!$E$3:$E$12,0)),"Not Found")</f>
        <v>2021-08-27 10:00:00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B5" sqref="B5"/>
    </sheetView>
  </sheetViews>
  <sheetFormatPr defaultRowHeight="14.4" x14ac:dyDescent="0.3"/>
  <cols>
    <col min="1" max="1" width="20" customWidth="1"/>
    <col min="2" max="2" width="30" customWidth="1"/>
    <col min="3" max="4" width="15" customWidth="1"/>
  </cols>
  <sheetData>
    <row r="1" spans="1:4" ht="28.05" customHeight="1" x14ac:dyDescent="0.3">
      <c r="A1" s="15" t="s">
        <v>64</v>
      </c>
      <c r="B1" s="13"/>
      <c r="C1" s="13"/>
      <c r="D1" s="13"/>
    </row>
    <row r="3" spans="1:4" ht="19.95" customHeight="1" x14ac:dyDescent="0.3">
      <c r="A3" s="16" t="s">
        <v>65</v>
      </c>
      <c r="B3" s="13"/>
    </row>
    <row r="4" spans="1:4" x14ac:dyDescent="0.3">
      <c r="A4" s="1" t="s">
        <v>4</v>
      </c>
      <c r="B4" s="1" t="s">
        <v>66</v>
      </c>
    </row>
    <row r="5" spans="1:4" x14ac:dyDescent="0.3">
      <c r="A5" s="10" t="s">
        <v>16</v>
      </c>
      <c r="B5" s="11">
        <f>COUNTIFS(ticket!$D$3:$D$12,A5,ticket!$F$3:$F$12,TRUE)</f>
        <v>0</v>
      </c>
    </row>
    <row r="6" spans="1:4" x14ac:dyDescent="0.3">
      <c r="A6" s="10" t="s">
        <v>33</v>
      </c>
      <c r="B6" s="11">
        <f>COUNTIFS(ticket!$D$3:$D$12,A6,ticket!$F$3:$F$12,TRUE)</f>
        <v>0</v>
      </c>
    </row>
    <row r="7" spans="1:4" x14ac:dyDescent="0.3">
      <c r="A7" s="10" t="s">
        <v>11</v>
      </c>
      <c r="B7" s="11">
        <f>COUNTIFS(ticket!$D$3:$D$12,A7,ticket!$F$3:$F$12,TRUE)</f>
        <v>0</v>
      </c>
    </row>
    <row r="10" spans="1:4" ht="19.95" customHeight="1" x14ac:dyDescent="0.3">
      <c r="A10" s="17" t="s">
        <v>67</v>
      </c>
      <c r="B10" s="13"/>
    </row>
    <row r="11" spans="1:4" x14ac:dyDescent="0.3">
      <c r="A11" s="2" t="s">
        <v>4</v>
      </c>
      <c r="B11" s="2" t="s">
        <v>68</v>
      </c>
    </row>
    <row r="12" spans="1:4" x14ac:dyDescent="0.3">
      <c r="A12" s="10" t="s">
        <v>16</v>
      </c>
      <c r="B12" s="11">
        <f>COUNTIFS(ticket!$D$3:$D$12,A12,ticket!$H$3:$H$12,TRUE)</f>
        <v>0</v>
      </c>
    </row>
    <row r="13" spans="1:4" x14ac:dyDescent="0.3">
      <c r="A13" s="10" t="s">
        <v>33</v>
      </c>
      <c r="B13" s="11">
        <f>COUNTIFS(ticket!$D$3:$D$12,A13,ticket!$H$3:$H$12,TRUE)</f>
        <v>0</v>
      </c>
    </row>
    <row r="14" spans="1:4" x14ac:dyDescent="0.3">
      <c r="A14" s="10" t="s">
        <v>11</v>
      </c>
      <c r="B14" s="11">
        <f>COUNTIFS(ticket!$D$3:$D$12,A14,ticket!$H$3:$H$12,TRUE)</f>
        <v>0</v>
      </c>
    </row>
  </sheetData>
  <mergeCells count="3">
    <mergeCell ref="A1:D1"/>
    <mergeCell ref="A3:B3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akhilesh addepalli</cp:lastModifiedBy>
  <dcterms:created xsi:type="dcterms:W3CDTF">2026-04-09T09:34:28Z</dcterms:created>
  <dcterms:modified xsi:type="dcterms:W3CDTF">2026-04-09T09:52:29Z</dcterms:modified>
</cp:coreProperties>
</file>