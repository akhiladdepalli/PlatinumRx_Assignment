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739C8924444FA0/Documents/smartdustbinusingiot/"/>
    </mc:Choice>
  </mc:AlternateContent>
  <xr:revisionPtr revIDLastSave="44" documentId="8_{57C794E5-AFE4-4A9A-9EF8-8F269C58D021}" xr6:coauthVersionLast="47" xr6:coauthVersionMax="47" xr10:uidLastSave="{36F5B448-52F9-4DA7-8B5F-3F0923E29313}"/>
  <bookViews>
    <workbookView xWindow="-108" yWindow="-108" windowWidth="23256" windowHeight="12456" activeTab="3" xr2:uid="{57F47601-4B00-47FC-8E28-B6E9B2BC40C8}"/>
  </bookViews>
  <sheets>
    <sheet name="ticket" sheetId="1" r:id="rId1"/>
    <sheet name="feedbacks" sheetId="2" r:id="rId2"/>
    <sheet name="Sheet3" sheetId="4" r:id="rId3"/>
    <sheet name="Sheet2" sheetId="3" r:id="rId4"/>
  </sheets>
  <calcPr calcId="0"/>
  <pivotCaches>
    <pivotCache cacheId="6" r:id="rId5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D21" i="2"/>
  <c r="D22" i="2"/>
  <c r="D23" i="2"/>
  <c r="D24" i="2"/>
  <c r="D25" i="2"/>
  <c r="D26" i="2"/>
  <c r="D27" i="2"/>
  <c r="D28" i="2"/>
  <c r="D29" i="2"/>
  <c r="D30" i="2"/>
  <c r="D3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" i="2"/>
</calcChain>
</file>

<file path=xl/sharedStrings.xml><?xml version="1.0" encoding="utf-8"?>
<sst xmlns="http://schemas.openxmlformats.org/spreadsheetml/2006/main" count="148" uniqueCount="79">
  <si>
    <t>ticket_id</t>
  </si>
  <si>
    <t>created_at</t>
  </si>
  <si>
    <t>closed_at</t>
  </si>
  <si>
    <t>outlet_id</t>
  </si>
  <si>
    <t>cms_id</t>
  </si>
  <si>
    <t>TCK-1001</t>
  </si>
  <si>
    <t>OUT-001</t>
  </si>
  <si>
    <t>CMS-001</t>
  </si>
  <si>
    <t>TCK-1002</t>
  </si>
  <si>
    <t>OUT-002</t>
  </si>
  <si>
    <t>CMS-002</t>
  </si>
  <si>
    <t>TCK-1003</t>
  </si>
  <si>
    <t>OUT-003</t>
  </si>
  <si>
    <t>CMS-003</t>
  </si>
  <si>
    <t>TCK-1004</t>
  </si>
  <si>
    <t>CMS-004</t>
  </si>
  <si>
    <t>TCK-1005</t>
  </si>
  <si>
    <t>OUT-004</t>
  </si>
  <si>
    <t>CMS-005</t>
  </si>
  <si>
    <t>TCK-1006</t>
  </si>
  <si>
    <t>CMS-006</t>
  </si>
  <si>
    <t>TCK-1007</t>
  </si>
  <si>
    <t>CMS-007</t>
  </si>
  <si>
    <t>TCK-1008</t>
  </si>
  <si>
    <t>OUT-005</t>
  </si>
  <si>
    <t>CMS-008</t>
  </si>
  <si>
    <t>TCK-1009</t>
  </si>
  <si>
    <t>CMS-009</t>
  </si>
  <si>
    <t>TCK-1010</t>
  </si>
  <si>
    <t>CMS-010</t>
  </si>
  <si>
    <t>TCK-1011</t>
  </si>
  <si>
    <t>CMS-011</t>
  </si>
  <si>
    <t>TCK-1012</t>
  </si>
  <si>
    <t>CMS-012</t>
  </si>
  <si>
    <t>TCK-1013</t>
  </si>
  <si>
    <t>CMS-013</t>
  </si>
  <si>
    <t>TCK-1014</t>
  </si>
  <si>
    <t>CMS-014</t>
  </si>
  <si>
    <t>TCK-1015</t>
  </si>
  <si>
    <t>CMS-015</t>
  </si>
  <si>
    <t>TCK-1016</t>
  </si>
  <si>
    <t>CMS-016</t>
  </si>
  <si>
    <t>TCK-1017</t>
  </si>
  <si>
    <t>CMS-017</t>
  </si>
  <si>
    <t>TCK-1018</t>
  </si>
  <si>
    <t>CMS-018</t>
  </si>
  <si>
    <t>TCK-1019</t>
  </si>
  <si>
    <t>CMS-019</t>
  </si>
  <si>
    <t>TCK-1020</t>
  </si>
  <si>
    <t>CMS-020</t>
  </si>
  <si>
    <t>TCK-1021</t>
  </si>
  <si>
    <t>CMS-021</t>
  </si>
  <si>
    <t>TCK-1022</t>
  </si>
  <si>
    <t>CMS-022</t>
  </si>
  <si>
    <t>TCK-1023</t>
  </si>
  <si>
    <t>CMS-023</t>
  </si>
  <si>
    <t>TCK-1024</t>
  </si>
  <si>
    <t>CMS-024</t>
  </si>
  <si>
    <t>TCK-1025</t>
  </si>
  <si>
    <t>CMS-025</t>
  </si>
  <si>
    <t>TCK-1026</t>
  </si>
  <si>
    <t>CMS-026</t>
  </si>
  <si>
    <t>TCK-1027</t>
  </si>
  <si>
    <t>CMS-027</t>
  </si>
  <si>
    <t>TCK-1028</t>
  </si>
  <si>
    <t>CMS-028</t>
  </si>
  <si>
    <t>TCK-1029</t>
  </si>
  <si>
    <t>CMS-029</t>
  </si>
  <si>
    <t>TCK-1030</t>
  </si>
  <si>
    <t>CMS-030</t>
  </si>
  <si>
    <t>feedback_at</t>
  </si>
  <si>
    <t>feedback_rating</t>
  </si>
  <si>
    <t>ticket_created_at</t>
  </si>
  <si>
    <t>Same Day?</t>
  </si>
  <si>
    <t>Same Hour?</t>
  </si>
  <si>
    <t>Row Labels</t>
  </si>
  <si>
    <t>Grand Total</t>
  </si>
  <si>
    <t>Count of ticket_id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</si>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</sst>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HILESH" refreshedDate="45993.951603009256" createdVersion="8" refreshedVersion="8" minRefreshableVersion="3" recordCount="30" xr:uid="{2B50886D-A8B0-424A-8EAF-01A10B422975}">
  <cacheSource type="worksheet">
    <worksheetSource ref="A1:G31" sheet="ticket"/>
  </cacheSource>
  <cacheFields count="7">
    <cacheField name="ticket_id" numFmtId="0">
      <sharedItems count="30">
        <s v="TCK-1001"/>
        <s v="TCK-1002"/>
        <s v="TCK-1003"/>
        <s v="TCK-1004"/>
        <s v="TCK-1005"/>
        <s v="TCK-1006"/>
        <s v="TCK-1007"/>
        <s v="TCK-1008"/>
        <s v="TCK-1009"/>
        <s v="TCK-1010"/>
        <s v="TCK-1011"/>
        <s v="TCK-1012"/>
        <s v="TCK-1013"/>
        <s v="TCK-1014"/>
        <s v="TCK-1015"/>
        <s v="TCK-1016"/>
        <s v="TCK-1017"/>
        <s v="TCK-1018"/>
        <s v="TCK-1019"/>
        <s v="TCK-1020"/>
        <s v="TCK-1021"/>
        <s v="TCK-1022"/>
        <s v="TCK-1023"/>
        <s v="TCK-1024"/>
        <s v="TCK-1025"/>
        <s v="TCK-1026"/>
        <s v="TCK-1027"/>
        <s v="TCK-1028"/>
        <s v="TCK-1029"/>
        <s v="TCK-1030"/>
      </sharedItems>
    </cacheField>
    <cacheField name="created_at" numFmtId="22">
      <sharedItems containsSemiMixedTypes="0" containsNonDate="0" containsDate="1" containsString="0" minDate="2021-08-01T09:12:33" maxDate="2021-08-11T09:03:55"/>
    </cacheField>
    <cacheField name="closed_at" numFmtId="22">
      <sharedItems containsSemiMixedTypes="0" containsNonDate="0" containsDate="1" containsString="0" minDate="2021-08-01T10:05:41" maxDate="2021-08-11T11:57:18"/>
    </cacheField>
    <cacheField name="outlet_id" numFmtId="0">
      <sharedItems count="5">
        <s v="OUT-001"/>
        <s v="OUT-002"/>
        <s v="OUT-003"/>
        <s v="OUT-004"/>
        <s v="OUT-005"/>
      </sharedItems>
    </cacheField>
    <cacheField name="cms_id" numFmtId="0">
      <sharedItems/>
    </cacheField>
    <cacheField name="Same Day?" numFmtId="0">
      <sharedItems count="2">
        <b v="1"/>
        <b v="0"/>
      </sharedItems>
    </cacheField>
    <cacheField name="Same Hour?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d v="2021-08-01T09:12:33"/>
    <d v="2021-08-01T10:05:41"/>
    <x v="0"/>
    <s v="CMS-001"/>
    <x v="0"/>
    <x v="0"/>
  </r>
  <r>
    <x v="1"/>
    <d v="2021-08-01T10:48:05"/>
    <d v="2021-08-01T16:22:10"/>
    <x v="1"/>
    <s v="CMS-002"/>
    <x v="0"/>
    <x v="0"/>
  </r>
  <r>
    <x v="2"/>
    <d v="2021-08-01T14:19:57"/>
    <d v="2021-08-02T09:11:22"/>
    <x v="2"/>
    <s v="CMS-003"/>
    <x v="1"/>
    <x v="0"/>
  </r>
  <r>
    <x v="3"/>
    <d v="2021-08-02T08:03:11"/>
    <d v="2021-08-02T08:47:55"/>
    <x v="0"/>
    <s v="CMS-004"/>
    <x v="0"/>
    <x v="1"/>
  </r>
  <r>
    <x v="4"/>
    <d v="2021-08-02T11:55:44"/>
    <d v="2021-08-03T13:09:36"/>
    <x v="3"/>
    <s v="CMS-005"/>
    <x v="1"/>
    <x v="0"/>
  </r>
  <r>
    <x v="5"/>
    <d v="2021-08-02T16:27:19"/>
    <d v="2021-08-02T18:03:02"/>
    <x v="1"/>
    <s v="CMS-006"/>
    <x v="0"/>
    <x v="0"/>
  </r>
  <r>
    <x v="6"/>
    <d v="2021-08-03T09:05:28"/>
    <d v="2021-08-03T11:37:49"/>
    <x v="2"/>
    <s v="CMS-007"/>
    <x v="0"/>
    <x v="0"/>
  </r>
  <r>
    <x v="7"/>
    <d v="2021-08-03T13:42:51"/>
    <d v="2021-08-04T10:15:03"/>
    <x v="4"/>
    <s v="CMS-008"/>
    <x v="1"/>
    <x v="0"/>
  </r>
  <r>
    <x v="8"/>
    <d v="2021-08-03T17:18:06"/>
    <d v="2021-08-03T19:22:41"/>
    <x v="0"/>
    <s v="CMS-009"/>
    <x v="0"/>
    <x v="0"/>
  </r>
  <r>
    <x v="9"/>
    <d v="2021-08-04T08:29:33"/>
    <d v="2021-08-04T09:14:58"/>
    <x v="3"/>
    <s v="CMS-010"/>
    <x v="0"/>
    <x v="0"/>
  </r>
  <r>
    <x v="10"/>
    <d v="2021-08-04T10:53:47"/>
    <d v="2021-08-05T08:21:19"/>
    <x v="1"/>
    <s v="CMS-011"/>
    <x v="1"/>
    <x v="0"/>
  </r>
  <r>
    <x v="11"/>
    <d v="2021-08-04T15:06:25"/>
    <d v="2021-08-04T16:44:02"/>
    <x v="2"/>
    <s v="CMS-012"/>
    <x v="0"/>
    <x v="0"/>
  </r>
  <r>
    <x v="12"/>
    <d v="2021-08-05T09:17:39"/>
    <d v="2021-08-05T12:33:51"/>
    <x v="4"/>
    <s v="CMS-013"/>
    <x v="0"/>
    <x v="0"/>
  </r>
  <r>
    <x v="13"/>
    <d v="2021-08-05T11:48:22"/>
    <d v="2021-08-06T10:09:44"/>
    <x v="0"/>
    <s v="CMS-014"/>
    <x v="1"/>
    <x v="0"/>
  </r>
  <r>
    <x v="14"/>
    <d v="2021-08-05T16:02:11"/>
    <d v="2021-08-05T17:55:37"/>
    <x v="3"/>
    <s v="CMS-015"/>
    <x v="0"/>
    <x v="0"/>
  </r>
  <r>
    <x v="15"/>
    <d v="2021-08-06T08:11:03"/>
    <d v="2021-08-06T08:49:28"/>
    <x v="1"/>
    <s v="CMS-016"/>
    <x v="0"/>
    <x v="1"/>
  </r>
  <r>
    <x v="16"/>
    <d v="2021-08-06T10:37:56"/>
    <d v="2021-08-07T09:27:15"/>
    <x v="2"/>
    <s v="CMS-017"/>
    <x v="1"/>
    <x v="0"/>
  </r>
  <r>
    <x v="17"/>
    <d v="2021-08-06T14:23:41"/>
    <d v="2021-08-06T16:02:09"/>
    <x v="4"/>
    <s v="CMS-018"/>
    <x v="0"/>
    <x v="0"/>
  </r>
  <r>
    <x v="18"/>
    <d v="2021-08-07T09:01:19"/>
    <d v="2021-08-07T11:45:33"/>
    <x v="0"/>
    <s v="CMS-019"/>
    <x v="0"/>
    <x v="0"/>
  </r>
  <r>
    <x v="19"/>
    <d v="2021-08-07T13:39:52"/>
    <d v="2021-08-08T10:18:47"/>
    <x v="3"/>
    <s v="CMS-020"/>
    <x v="1"/>
    <x v="0"/>
  </r>
  <r>
    <x v="20"/>
    <d v="2021-08-08T08:27:44"/>
    <d v="2021-08-08T09:33:20"/>
    <x v="1"/>
    <s v="CMS-021"/>
    <x v="0"/>
    <x v="0"/>
  </r>
  <r>
    <x v="21"/>
    <d v="2021-08-08T11:14:03"/>
    <d v="2021-08-08T13:58:29"/>
    <x v="2"/>
    <s v="CMS-022"/>
    <x v="0"/>
    <x v="0"/>
  </r>
  <r>
    <x v="22"/>
    <d v="2021-08-08T15:49:37"/>
    <d v="2021-08-09T08:41:12"/>
    <x v="4"/>
    <s v="CMS-023"/>
    <x v="1"/>
    <x v="0"/>
  </r>
  <r>
    <x v="23"/>
    <d v="2021-08-09T09:08:26"/>
    <d v="2021-08-09T10:55:01"/>
    <x v="0"/>
    <s v="CMS-024"/>
    <x v="0"/>
    <x v="0"/>
  </r>
  <r>
    <x v="24"/>
    <d v="2021-08-09T12:47:18"/>
    <d v="2021-08-10T09:22:54"/>
    <x v="3"/>
    <s v="CMS-025"/>
    <x v="1"/>
    <x v="0"/>
  </r>
  <r>
    <x v="25"/>
    <d v="2021-08-09T16:35:42"/>
    <d v="2021-08-09T18:07:33"/>
    <x v="1"/>
    <s v="CMS-026"/>
    <x v="0"/>
    <x v="0"/>
  </r>
  <r>
    <x v="26"/>
    <d v="2021-08-10T08:22:51"/>
    <d v="2021-08-10T09:03:19"/>
    <x v="2"/>
    <s v="CMS-027"/>
    <x v="0"/>
    <x v="0"/>
  </r>
  <r>
    <x v="27"/>
    <d v="2021-08-10T10:56:34"/>
    <d v="2021-08-11T08:45:27"/>
    <x v="4"/>
    <s v="CMS-028"/>
    <x v="1"/>
    <x v="0"/>
  </r>
  <r>
    <x v="28"/>
    <d v="2021-08-10T14:31:09"/>
    <d v="2021-08-10T16:19:45"/>
    <x v="0"/>
    <s v="CMS-029"/>
    <x v="0"/>
    <x v="0"/>
  </r>
  <r>
    <x v="29"/>
    <d v="2021-08-11T09:03:55"/>
    <d v="2021-08-11T11:57:18"/>
    <x v="3"/>
    <s v="CMS-03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4D4A7-8748-4CC6-AC19-0EF2BB78628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7">
    <pivotField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umFmtId="22" showAll="0"/>
    <pivotField numFmtId="22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item="1" hier="-1"/>
  </pageField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B2DEA-5198-48A0-97A9-C586C06FE1D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7">
    <pivotField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umFmtId="22" showAll="0"/>
    <pivotField numFmtId="22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961E-2074-4B49-8BC4-19A2197FD70B}">
  <dimension ref="A1:G31"/>
  <sheetViews>
    <sheetView workbookViewId="0">
      <selection activeCell="B2" sqref="A1:G31"/>
    </sheetView>
  </sheetViews>
  <sheetFormatPr defaultRowHeight="14.4" x14ac:dyDescent="0.3"/>
  <cols>
    <col min="1" max="1" width="13.6640625" customWidth="1"/>
    <col min="2" max="2" width="19" customWidth="1"/>
    <col min="3" max="3" width="24.44140625" customWidth="1"/>
    <col min="4" max="4" width="14.77734375" customWidth="1"/>
    <col min="5" max="5" width="12.6640625" customWidth="1"/>
    <col min="6" max="6" width="9.886718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</v>
      </c>
      <c r="G1" t="s">
        <v>74</v>
      </c>
    </row>
    <row r="2" spans="1:7" x14ac:dyDescent="0.3">
      <c r="A2" t="s">
        <v>5</v>
      </c>
      <c r="B2" s="1">
        <v>44409.383715277778</v>
      </c>
      <c r="C2" s="1">
        <v>44409.420613425929</v>
      </c>
      <c r="D2" t="s">
        <v>6</v>
      </c>
      <c r="E2" t="s">
        <v>7</v>
      </c>
      <c r="F2" t="b">
        <f>INT(B2)=INT(C2)</f>
        <v>1</v>
      </c>
      <c r="G2" t="b">
        <f>AND(INT(B2)=INT(C2), HOUR(B2)=HOUR(C2))</f>
        <v>0</v>
      </c>
    </row>
    <row r="3" spans="1:7" x14ac:dyDescent="0.3">
      <c r="A3" t="s">
        <v>8</v>
      </c>
      <c r="B3" s="1">
        <v>44409.450057870374</v>
      </c>
      <c r="C3" s="1">
        <v>44409.682060185187</v>
      </c>
      <c r="D3" t="s">
        <v>9</v>
      </c>
      <c r="E3" t="s">
        <v>10</v>
      </c>
      <c r="F3" t="b">
        <f t="shared" ref="F3:F31" si="0">INT(B3)=INT(C3)</f>
        <v>1</v>
      </c>
      <c r="G3" t="b">
        <f t="shared" ref="G3:G31" si="1">AND(INT(B3)=INT(C3), HOUR(B3)=HOUR(C3))</f>
        <v>0</v>
      </c>
    </row>
    <row r="4" spans="1:7" x14ac:dyDescent="0.3">
      <c r="A4" t="s">
        <v>11</v>
      </c>
      <c r="B4" s="1">
        <v>44409.597187500003</v>
      </c>
      <c r="C4" s="1">
        <v>44410.382893518516</v>
      </c>
      <c r="D4" t="s">
        <v>12</v>
      </c>
      <c r="E4" t="s">
        <v>13</v>
      </c>
      <c r="F4" t="b">
        <f t="shared" si="0"/>
        <v>0</v>
      </c>
      <c r="G4" t="b">
        <f t="shared" si="1"/>
        <v>0</v>
      </c>
    </row>
    <row r="5" spans="1:7" x14ac:dyDescent="0.3">
      <c r="A5" t="s">
        <v>14</v>
      </c>
      <c r="B5" s="1">
        <v>44410.335543981484</v>
      </c>
      <c r="C5" s="1">
        <v>44410.366608796299</v>
      </c>
      <c r="D5" t="s">
        <v>6</v>
      </c>
      <c r="E5" t="s">
        <v>15</v>
      </c>
      <c r="F5" t="b">
        <f t="shared" si="0"/>
        <v>1</v>
      </c>
      <c r="G5" t="b">
        <f t="shared" si="1"/>
        <v>1</v>
      </c>
    </row>
    <row r="6" spans="1:7" x14ac:dyDescent="0.3">
      <c r="A6" t="s">
        <v>16</v>
      </c>
      <c r="B6" s="1">
        <v>44410.497037037036</v>
      </c>
      <c r="C6" s="1">
        <v>44411.548333333332</v>
      </c>
      <c r="D6" t="s">
        <v>17</v>
      </c>
      <c r="E6" t="s">
        <v>18</v>
      </c>
      <c r="F6" t="b">
        <f t="shared" si="0"/>
        <v>0</v>
      </c>
      <c r="G6" t="b">
        <f t="shared" si="1"/>
        <v>0</v>
      </c>
    </row>
    <row r="7" spans="1:7" x14ac:dyDescent="0.3">
      <c r="A7" t="s">
        <v>19</v>
      </c>
      <c r="B7" s="1">
        <v>44410.685636574075</v>
      </c>
      <c r="C7" s="1">
        <v>44410.752106481479</v>
      </c>
      <c r="D7" t="s">
        <v>9</v>
      </c>
      <c r="E7" t="s">
        <v>20</v>
      </c>
      <c r="F7" t="b">
        <f t="shared" si="0"/>
        <v>1</v>
      </c>
      <c r="G7" t="b">
        <f t="shared" si="1"/>
        <v>0</v>
      </c>
    </row>
    <row r="8" spans="1:7" x14ac:dyDescent="0.3">
      <c r="A8" t="s">
        <v>21</v>
      </c>
      <c r="B8" s="1">
        <v>44411.378796296296</v>
      </c>
      <c r="C8" s="1">
        <v>44411.484594907408</v>
      </c>
      <c r="D8" t="s">
        <v>12</v>
      </c>
      <c r="E8" t="s">
        <v>22</v>
      </c>
      <c r="F8" t="b">
        <f t="shared" si="0"/>
        <v>1</v>
      </c>
      <c r="G8" t="b">
        <f t="shared" si="1"/>
        <v>0</v>
      </c>
    </row>
    <row r="9" spans="1:7" x14ac:dyDescent="0.3">
      <c r="A9" t="s">
        <v>23</v>
      </c>
      <c r="B9" s="1">
        <v>44411.571423611109</v>
      </c>
      <c r="C9" s="1">
        <v>44412.427118055559</v>
      </c>
      <c r="D9" t="s">
        <v>24</v>
      </c>
      <c r="E9" t="s">
        <v>25</v>
      </c>
      <c r="F9" t="b">
        <f t="shared" si="0"/>
        <v>0</v>
      </c>
      <c r="G9" t="b">
        <f t="shared" si="1"/>
        <v>0</v>
      </c>
    </row>
    <row r="10" spans="1:7" x14ac:dyDescent="0.3">
      <c r="A10" t="s">
        <v>26</v>
      </c>
      <c r="B10" s="1">
        <v>44411.720902777779</v>
      </c>
      <c r="C10" s="1">
        <v>44411.80741898148</v>
      </c>
      <c r="D10" t="s">
        <v>6</v>
      </c>
      <c r="E10" t="s">
        <v>27</v>
      </c>
      <c r="F10" t="b">
        <f t="shared" si="0"/>
        <v>1</v>
      </c>
      <c r="G10" t="b">
        <f t="shared" si="1"/>
        <v>0</v>
      </c>
    </row>
    <row r="11" spans="1:7" x14ac:dyDescent="0.3">
      <c r="A11" t="s">
        <v>28</v>
      </c>
      <c r="B11" s="1">
        <v>44412.353854166664</v>
      </c>
      <c r="C11" s="1">
        <v>44412.385393518518</v>
      </c>
      <c r="D11" t="s">
        <v>17</v>
      </c>
      <c r="E11" t="s">
        <v>29</v>
      </c>
      <c r="F11" t="b">
        <f t="shared" si="0"/>
        <v>1</v>
      </c>
      <c r="G11" t="b">
        <f t="shared" si="1"/>
        <v>0</v>
      </c>
    </row>
    <row r="12" spans="1:7" x14ac:dyDescent="0.3">
      <c r="A12" t="s">
        <v>30</v>
      </c>
      <c r="B12" s="1">
        <v>44412.454016203701</v>
      </c>
      <c r="C12" s="1">
        <v>44413.348136574074</v>
      </c>
      <c r="D12" t="s">
        <v>9</v>
      </c>
      <c r="E12" t="s">
        <v>31</v>
      </c>
      <c r="F12" t="b">
        <f t="shared" si="0"/>
        <v>0</v>
      </c>
      <c r="G12" t="b">
        <f t="shared" si="1"/>
        <v>0</v>
      </c>
    </row>
    <row r="13" spans="1:7" x14ac:dyDescent="0.3">
      <c r="A13" t="s">
        <v>32</v>
      </c>
      <c r="B13" s="1">
        <v>44412.62945601852</v>
      </c>
      <c r="C13" s="1">
        <v>44412.697245370371</v>
      </c>
      <c r="D13" t="s">
        <v>12</v>
      </c>
      <c r="E13" t="s">
        <v>33</v>
      </c>
      <c r="F13" t="b">
        <f t="shared" si="0"/>
        <v>1</v>
      </c>
      <c r="G13" t="b">
        <f t="shared" si="1"/>
        <v>0</v>
      </c>
    </row>
    <row r="14" spans="1:7" x14ac:dyDescent="0.3">
      <c r="A14" t="s">
        <v>34</v>
      </c>
      <c r="B14" s="1">
        <v>44413.387256944443</v>
      </c>
      <c r="C14" s="1">
        <v>44413.523506944446</v>
      </c>
      <c r="D14" t="s">
        <v>24</v>
      </c>
      <c r="E14" t="s">
        <v>35</v>
      </c>
      <c r="F14" t="b">
        <f t="shared" si="0"/>
        <v>1</v>
      </c>
      <c r="G14" t="b">
        <f t="shared" si="1"/>
        <v>0</v>
      </c>
    </row>
    <row r="15" spans="1:7" x14ac:dyDescent="0.3">
      <c r="A15" t="s">
        <v>36</v>
      </c>
      <c r="B15" s="1">
        <v>44413.4919212963</v>
      </c>
      <c r="C15" s="1">
        <v>44414.423425925925</v>
      </c>
      <c r="D15" t="s">
        <v>6</v>
      </c>
      <c r="E15" t="s">
        <v>37</v>
      </c>
      <c r="F15" t="b">
        <f t="shared" si="0"/>
        <v>0</v>
      </c>
      <c r="G15" t="b">
        <f t="shared" si="1"/>
        <v>0</v>
      </c>
    </row>
    <row r="16" spans="1:7" x14ac:dyDescent="0.3">
      <c r="A16" t="s">
        <v>38</v>
      </c>
      <c r="B16" s="1">
        <v>44413.668182870373</v>
      </c>
      <c r="C16" s="1">
        <v>44413.74695601852</v>
      </c>
      <c r="D16" t="s">
        <v>17</v>
      </c>
      <c r="E16" t="s">
        <v>39</v>
      </c>
      <c r="F16" t="b">
        <f t="shared" si="0"/>
        <v>1</v>
      </c>
      <c r="G16" t="b">
        <f t="shared" si="1"/>
        <v>0</v>
      </c>
    </row>
    <row r="17" spans="1:7" x14ac:dyDescent="0.3">
      <c r="A17" t="s">
        <v>40</v>
      </c>
      <c r="B17" s="1">
        <v>44414.341006944444</v>
      </c>
      <c r="C17" s="1">
        <v>44414.367685185185</v>
      </c>
      <c r="D17" t="s">
        <v>9</v>
      </c>
      <c r="E17" t="s">
        <v>41</v>
      </c>
      <c r="F17" t="b">
        <f t="shared" si="0"/>
        <v>1</v>
      </c>
      <c r="G17" t="b">
        <f t="shared" si="1"/>
        <v>1</v>
      </c>
    </row>
    <row r="18" spans="1:7" x14ac:dyDescent="0.3">
      <c r="A18" t="s">
        <v>42</v>
      </c>
      <c r="B18" s="1">
        <v>44414.443009259259</v>
      </c>
      <c r="C18" s="1">
        <v>44415.393923611111</v>
      </c>
      <c r="D18" t="s">
        <v>12</v>
      </c>
      <c r="E18" t="s">
        <v>43</v>
      </c>
      <c r="F18" t="b">
        <f t="shared" si="0"/>
        <v>0</v>
      </c>
      <c r="G18" t="b">
        <f t="shared" si="1"/>
        <v>0</v>
      </c>
    </row>
    <row r="19" spans="1:7" x14ac:dyDescent="0.3">
      <c r="A19" t="s">
        <v>44</v>
      </c>
      <c r="B19" s="1">
        <v>44414.599780092591</v>
      </c>
      <c r="C19" s="1">
        <v>44414.66815972222</v>
      </c>
      <c r="D19" t="s">
        <v>24</v>
      </c>
      <c r="E19" t="s">
        <v>45</v>
      </c>
      <c r="F19" t="b">
        <f t="shared" si="0"/>
        <v>1</v>
      </c>
      <c r="G19" t="b">
        <f t="shared" si="1"/>
        <v>0</v>
      </c>
    </row>
    <row r="20" spans="1:7" x14ac:dyDescent="0.3">
      <c r="A20" t="s">
        <v>46</v>
      </c>
      <c r="B20" s="1">
        <v>44415.375914351855</v>
      </c>
      <c r="C20" s="1">
        <v>44415.489965277775</v>
      </c>
      <c r="D20" t="s">
        <v>6</v>
      </c>
      <c r="E20" t="s">
        <v>47</v>
      </c>
      <c r="F20" t="b">
        <f t="shared" si="0"/>
        <v>1</v>
      </c>
      <c r="G20" t="b">
        <f t="shared" si="1"/>
        <v>0</v>
      </c>
    </row>
    <row r="21" spans="1:7" x14ac:dyDescent="0.3">
      <c r="A21" t="s">
        <v>48</v>
      </c>
      <c r="B21" s="1">
        <v>44415.569351851853</v>
      </c>
      <c r="C21" s="1">
        <v>44416.429710648146</v>
      </c>
      <c r="D21" t="s">
        <v>17</v>
      </c>
      <c r="E21" t="s">
        <v>49</v>
      </c>
      <c r="F21" t="b">
        <f t="shared" si="0"/>
        <v>0</v>
      </c>
      <c r="G21" t="b">
        <f t="shared" si="1"/>
        <v>0</v>
      </c>
    </row>
    <row r="22" spans="1:7" x14ac:dyDescent="0.3">
      <c r="A22" t="s">
        <v>50</v>
      </c>
      <c r="B22" s="1">
        <v>44416.352592592593</v>
      </c>
      <c r="C22" s="1">
        <v>44416.398148148146</v>
      </c>
      <c r="D22" t="s">
        <v>9</v>
      </c>
      <c r="E22" t="s">
        <v>51</v>
      </c>
      <c r="F22" t="b">
        <f t="shared" si="0"/>
        <v>1</v>
      </c>
      <c r="G22" t="b">
        <f t="shared" si="1"/>
        <v>0</v>
      </c>
    </row>
    <row r="23" spans="1:7" x14ac:dyDescent="0.3">
      <c r="A23" t="s">
        <v>52</v>
      </c>
      <c r="B23" s="1">
        <v>44416.468090277776</v>
      </c>
      <c r="C23" s="1">
        <v>44416.582280092596</v>
      </c>
      <c r="D23" t="s">
        <v>12</v>
      </c>
      <c r="E23" t="s">
        <v>53</v>
      </c>
      <c r="F23" t="b">
        <f t="shared" si="0"/>
        <v>1</v>
      </c>
      <c r="G23" t="b">
        <f t="shared" si="1"/>
        <v>0</v>
      </c>
    </row>
    <row r="24" spans="1:7" x14ac:dyDescent="0.3">
      <c r="A24" t="s">
        <v>54</v>
      </c>
      <c r="B24" s="1">
        <v>44416.659456018519</v>
      </c>
      <c r="C24" s="1">
        <v>44417.361944444441</v>
      </c>
      <c r="D24" t="s">
        <v>24</v>
      </c>
      <c r="E24" t="s">
        <v>55</v>
      </c>
      <c r="F24" t="b">
        <f t="shared" si="0"/>
        <v>0</v>
      </c>
      <c r="G24" t="b">
        <f t="shared" si="1"/>
        <v>0</v>
      </c>
    </row>
    <row r="25" spans="1:7" x14ac:dyDescent="0.3">
      <c r="A25" t="s">
        <v>56</v>
      </c>
      <c r="B25" s="1">
        <v>44417.380856481483</v>
      </c>
      <c r="C25" s="1">
        <v>44417.454872685186</v>
      </c>
      <c r="D25" t="s">
        <v>6</v>
      </c>
      <c r="E25" t="s">
        <v>57</v>
      </c>
      <c r="F25" t="b">
        <f t="shared" si="0"/>
        <v>1</v>
      </c>
      <c r="G25" t="b">
        <f t="shared" si="1"/>
        <v>0</v>
      </c>
    </row>
    <row r="26" spans="1:7" x14ac:dyDescent="0.3">
      <c r="A26" t="s">
        <v>58</v>
      </c>
      <c r="B26" s="1">
        <v>44417.532847222225</v>
      </c>
      <c r="C26" s="1">
        <v>44418.390902777777</v>
      </c>
      <c r="D26" t="s">
        <v>17</v>
      </c>
      <c r="E26" t="s">
        <v>59</v>
      </c>
      <c r="F26" t="b">
        <f t="shared" si="0"/>
        <v>0</v>
      </c>
      <c r="G26" t="b">
        <f t="shared" si="1"/>
        <v>0</v>
      </c>
    </row>
    <row r="27" spans="1:7" x14ac:dyDescent="0.3">
      <c r="A27" t="s">
        <v>60</v>
      </c>
      <c r="B27" s="1">
        <v>44417.691458333335</v>
      </c>
      <c r="C27" s="1">
        <v>44417.755243055559</v>
      </c>
      <c r="D27" t="s">
        <v>9</v>
      </c>
      <c r="E27" t="s">
        <v>61</v>
      </c>
      <c r="F27" t="b">
        <f t="shared" si="0"/>
        <v>1</v>
      </c>
      <c r="G27" t="b">
        <f t="shared" si="1"/>
        <v>0</v>
      </c>
    </row>
    <row r="28" spans="1:7" x14ac:dyDescent="0.3">
      <c r="A28" t="s">
        <v>62</v>
      </c>
      <c r="B28" s="1">
        <v>44418.34920138889</v>
      </c>
      <c r="C28" s="1">
        <v>44418.377303240741</v>
      </c>
      <c r="D28" t="s">
        <v>12</v>
      </c>
      <c r="E28" t="s">
        <v>63</v>
      </c>
      <c r="F28" t="b">
        <f t="shared" si="0"/>
        <v>1</v>
      </c>
      <c r="G28" t="b">
        <f t="shared" si="1"/>
        <v>0</v>
      </c>
    </row>
    <row r="29" spans="1:7" x14ac:dyDescent="0.3">
      <c r="A29" t="s">
        <v>64</v>
      </c>
      <c r="B29" s="1">
        <v>44418.455949074072</v>
      </c>
      <c r="C29" s="1">
        <v>44419.364895833336</v>
      </c>
      <c r="D29" t="s">
        <v>24</v>
      </c>
      <c r="E29" t="s">
        <v>65</v>
      </c>
      <c r="F29" t="b">
        <f t="shared" si="0"/>
        <v>0</v>
      </c>
      <c r="G29" t="b">
        <f t="shared" si="1"/>
        <v>0</v>
      </c>
    </row>
    <row r="30" spans="1:7" x14ac:dyDescent="0.3">
      <c r="A30" t="s">
        <v>66</v>
      </c>
      <c r="B30" s="1">
        <v>44418.60496527778</v>
      </c>
      <c r="C30" s="1">
        <v>44418.680381944447</v>
      </c>
      <c r="D30" t="s">
        <v>6</v>
      </c>
      <c r="E30" t="s">
        <v>67</v>
      </c>
      <c r="F30" t="b">
        <f t="shared" si="0"/>
        <v>1</v>
      </c>
      <c r="G30" t="b">
        <f t="shared" si="1"/>
        <v>0</v>
      </c>
    </row>
    <row r="31" spans="1:7" x14ac:dyDescent="0.3">
      <c r="A31" t="s">
        <v>68</v>
      </c>
      <c r="B31" s="1">
        <v>44419.37771990741</v>
      </c>
      <c r="C31" s="1">
        <v>44419.498124999998</v>
      </c>
      <c r="D31" t="s">
        <v>17</v>
      </c>
      <c r="E31" t="s">
        <v>69</v>
      </c>
      <c r="F31" t="b">
        <f t="shared" si="0"/>
        <v>1</v>
      </c>
      <c r="G31" t="b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F802-9B4B-4B9B-9C60-AB871CB3E152}">
  <dimension ref="A1:D31"/>
  <sheetViews>
    <sheetView workbookViewId="0">
      <selection activeCell="D3" sqref="D3"/>
    </sheetView>
  </sheetViews>
  <sheetFormatPr defaultColWidth="26.33203125" defaultRowHeight="14.4" x14ac:dyDescent="0.3"/>
  <sheetData>
    <row r="1" spans="1:4" x14ac:dyDescent="0.3">
      <c r="A1" t="s">
        <v>4</v>
      </c>
      <c r="B1" t="s">
        <v>70</v>
      </c>
      <c r="C1" t="s">
        <v>71</v>
      </c>
      <c r="D1" t="s">
        <v>72</v>
      </c>
    </row>
    <row r="2" spans="1:4" x14ac:dyDescent="0.3">
      <c r="A2" t="s">
        <v>7</v>
      </c>
      <c r="D2">
        <f>INDEX(ticket!$B$2:$B$31, MATCH(A2, ticket!$E$2:$E$31, 0))</f>
        <v>44409.383715277778</v>
      </c>
    </row>
    <row r="3" spans="1:4" x14ac:dyDescent="0.3">
      <c r="A3" t="s">
        <v>10</v>
      </c>
      <c r="D3">
        <f>INDEX(ticket!$B$2:$B$31, MATCH(A3, ticket!$E$2:$E$31, 0))</f>
        <v>44409.450057870374</v>
      </c>
    </row>
    <row r="4" spans="1:4" x14ac:dyDescent="0.3">
      <c r="A4" t="s">
        <v>13</v>
      </c>
      <c r="D4">
        <f>INDEX(ticket!$B$2:$B$31, MATCH(A4, ticket!$E$2:$E$31, 0))</f>
        <v>44409.597187500003</v>
      </c>
    </row>
    <row r="5" spans="1:4" x14ac:dyDescent="0.3">
      <c r="A5" t="s">
        <v>15</v>
      </c>
      <c r="D5">
        <f>INDEX(ticket!$B$2:$B$31, MATCH(A5, ticket!$E$2:$E$31, 0))</f>
        <v>44410.335543981484</v>
      </c>
    </row>
    <row r="6" spans="1:4" x14ac:dyDescent="0.3">
      <c r="A6" t="s">
        <v>18</v>
      </c>
      <c r="D6">
        <f>INDEX(ticket!$B$2:$B$31, MATCH(A6, ticket!$E$2:$E$31, 0))</f>
        <v>44410.497037037036</v>
      </c>
    </row>
    <row r="7" spans="1:4" x14ac:dyDescent="0.3">
      <c r="A7" t="s">
        <v>20</v>
      </c>
      <c r="D7">
        <f>INDEX(ticket!$B$2:$B$31, MATCH(A7, ticket!$E$2:$E$31, 0))</f>
        <v>44410.685636574075</v>
      </c>
    </row>
    <row r="8" spans="1:4" x14ac:dyDescent="0.3">
      <c r="A8" t="s">
        <v>22</v>
      </c>
      <c r="D8">
        <f>INDEX(ticket!$B$2:$B$31, MATCH(A8, ticket!$E$2:$E$31, 0))</f>
        <v>44411.378796296296</v>
      </c>
    </row>
    <row r="9" spans="1:4" x14ac:dyDescent="0.3">
      <c r="A9" t="s">
        <v>25</v>
      </c>
      <c r="D9">
        <f>INDEX(ticket!$B$2:$B$31, MATCH(A9, ticket!$E$2:$E$31, 0))</f>
        <v>44411.571423611109</v>
      </c>
    </row>
    <row r="10" spans="1:4" x14ac:dyDescent="0.3">
      <c r="A10" t="s">
        <v>27</v>
      </c>
      <c r="D10">
        <f>INDEX(ticket!$B$2:$B$31, MATCH(A10, ticket!$E$2:$E$31, 0))</f>
        <v>44411.720902777779</v>
      </c>
    </row>
    <row r="11" spans="1:4" x14ac:dyDescent="0.3">
      <c r="A11" t="s">
        <v>29</v>
      </c>
      <c r="D11">
        <f>INDEX(ticket!$B$2:$B$31, MATCH(A11, ticket!$E$2:$E$31, 0))</f>
        <v>44412.353854166664</v>
      </c>
    </row>
    <row r="12" spans="1:4" x14ac:dyDescent="0.3">
      <c r="A12" t="s">
        <v>31</v>
      </c>
      <c r="D12">
        <f>INDEX(ticket!$B$2:$B$31, MATCH(A12, ticket!$E$2:$E$31, 0))</f>
        <v>44412.454016203701</v>
      </c>
    </row>
    <row r="13" spans="1:4" x14ac:dyDescent="0.3">
      <c r="A13" t="s">
        <v>33</v>
      </c>
      <c r="D13">
        <f>INDEX(ticket!$B$2:$B$31, MATCH(A13, ticket!$E$2:$E$31, 0))</f>
        <v>44412.62945601852</v>
      </c>
    </row>
    <row r="14" spans="1:4" x14ac:dyDescent="0.3">
      <c r="A14" t="s">
        <v>35</v>
      </c>
      <c r="D14">
        <f>INDEX(ticket!$B$2:$B$31, MATCH(A14, ticket!$E$2:$E$31, 0))</f>
        <v>44413.387256944443</v>
      </c>
    </row>
    <row r="15" spans="1:4" x14ac:dyDescent="0.3">
      <c r="A15" t="s">
        <v>37</v>
      </c>
      <c r="D15">
        <f>INDEX(ticket!$B$2:$B$31, MATCH(A15, ticket!$E$2:$E$31, 0))</f>
        <v>44413.4919212963</v>
      </c>
    </row>
    <row r="16" spans="1:4" x14ac:dyDescent="0.3">
      <c r="A16" t="s">
        <v>39</v>
      </c>
      <c r="D16">
        <f>INDEX(ticket!$B$2:$B$31, MATCH(A16, ticket!$E$2:$E$31, 0))</f>
        <v>44413.668182870373</v>
      </c>
    </row>
    <row r="17" spans="1:4" x14ac:dyDescent="0.3">
      <c r="A17" t="s">
        <v>41</v>
      </c>
      <c r="D17">
        <f>INDEX(ticket!$B$2:$B$31, MATCH(A17, ticket!$E$2:$E$31, 0))</f>
        <v>44414.341006944444</v>
      </c>
    </row>
    <row r="18" spans="1:4" x14ac:dyDescent="0.3">
      <c r="A18" t="s">
        <v>43</v>
      </c>
      <c r="D18">
        <f>INDEX(ticket!$B$2:$B$31, MATCH(A18, ticket!$E$2:$E$31, 0))</f>
        <v>44414.443009259259</v>
      </c>
    </row>
    <row r="19" spans="1:4" x14ac:dyDescent="0.3">
      <c r="A19" t="s">
        <v>45</v>
      </c>
      <c r="D19">
        <f>INDEX(ticket!$B$2:$B$31, MATCH(A19, ticket!$E$2:$E$31, 0))</f>
        <v>44414.599780092591</v>
      </c>
    </row>
    <row r="20" spans="1:4" x14ac:dyDescent="0.3">
      <c r="A20" t="s">
        <v>47</v>
      </c>
      <c r="D20">
        <f>INDEX(ticket!$B$2:$B$31, MATCH(A20, ticket!$E$2:$E$31, 0))</f>
        <v>44415.375914351855</v>
      </c>
    </row>
    <row r="21" spans="1:4" x14ac:dyDescent="0.3">
      <c r="A21" t="s">
        <v>49</v>
      </c>
      <c r="D21">
        <f>INDEX(ticket!$B$2:$B$31, MATCH(A21, ticket!$E$2:$E$31, 0))</f>
        <v>44415.569351851853</v>
      </c>
    </row>
    <row r="22" spans="1:4" x14ac:dyDescent="0.3">
      <c r="A22" t="s">
        <v>51</v>
      </c>
      <c r="D22">
        <f>INDEX(ticket!$B$2:$B$31, MATCH(A22, ticket!$E$2:$E$31, 0))</f>
        <v>44416.352592592593</v>
      </c>
    </row>
    <row r="23" spans="1:4" x14ac:dyDescent="0.3">
      <c r="A23" t="s">
        <v>53</v>
      </c>
      <c r="D23">
        <f>INDEX(ticket!$B$2:$B$31, MATCH(A23, ticket!$E$2:$E$31, 0))</f>
        <v>44416.468090277776</v>
      </c>
    </row>
    <row r="24" spans="1:4" x14ac:dyDescent="0.3">
      <c r="A24" t="s">
        <v>55</v>
      </c>
      <c r="D24">
        <f>INDEX(ticket!$B$2:$B$31, MATCH(A24, ticket!$E$2:$E$31, 0))</f>
        <v>44416.659456018519</v>
      </c>
    </row>
    <row r="25" spans="1:4" x14ac:dyDescent="0.3">
      <c r="A25" t="s">
        <v>57</v>
      </c>
      <c r="D25">
        <f>INDEX(ticket!$B$2:$B$31, MATCH(A25, ticket!$E$2:$E$31, 0))</f>
        <v>44417.380856481483</v>
      </c>
    </row>
    <row r="26" spans="1:4" x14ac:dyDescent="0.3">
      <c r="A26" t="s">
        <v>59</v>
      </c>
      <c r="D26">
        <f>INDEX(ticket!$B$2:$B$31, MATCH(A26, ticket!$E$2:$E$31, 0))</f>
        <v>44417.532847222225</v>
      </c>
    </row>
    <row r="27" spans="1:4" x14ac:dyDescent="0.3">
      <c r="A27" t="s">
        <v>61</v>
      </c>
      <c r="D27">
        <f>INDEX(ticket!$B$2:$B$31, MATCH(A27, ticket!$E$2:$E$31, 0))</f>
        <v>44417.691458333335</v>
      </c>
    </row>
    <row r="28" spans="1:4" x14ac:dyDescent="0.3">
      <c r="A28" t="s">
        <v>63</v>
      </c>
      <c r="D28">
        <f>INDEX(ticket!$B$2:$B$31, MATCH(A28, ticket!$E$2:$E$31, 0))</f>
        <v>44418.34920138889</v>
      </c>
    </row>
    <row r="29" spans="1:4" x14ac:dyDescent="0.3">
      <c r="A29" t="s">
        <v>65</v>
      </c>
      <c r="D29">
        <f>INDEX(ticket!$B$2:$B$31, MATCH(A29, ticket!$E$2:$E$31, 0))</f>
        <v>44418.455949074072</v>
      </c>
    </row>
    <row r="30" spans="1:4" x14ac:dyDescent="0.3">
      <c r="A30" t="s">
        <v>67</v>
      </c>
      <c r="D30">
        <f>INDEX(ticket!$B$2:$B$31, MATCH(A30, ticket!$E$2:$E$31, 0))</f>
        <v>44418.60496527778</v>
      </c>
    </row>
    <row r="31" spans="1:4" x14ac:dyDescent="0.3">
      <c r="A31" t="s">
        <v>69</v>
      </c>
      <c r="D31">
        <f>INDEX(ticket!$B$2:$B$31, MATCH(A31, ticket!$E$2:$E$31, 0))</f>
        <v>44419.37771990741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4600-339B-41D1-B780-376849617F8C}">
  <dimension ref="A1:B9"/>
  <sheetViews>
    <sheetView workbookViewId="0">
      <selection activeCell="A6" sqref="A4:A8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1" spans="1:2" x14ac:dyDescent="0.3">
      <c r="A1" s="2" t="s">
        <v>73</v>
      </c>
      <c r="B1" t="s">
        <v>78</v>
      </c>
    </row>
    <row r="3" spans="1:2" x14ac:dyDescent="0.3">
      <c r="A3" s="2" t="s">
        <v>75</v>
      </c>
      <c r="B3" t="s">
        <v>77</v>
      </c>
    </row>
    <row r="4" spans="1:2" x14ac:dyDescent="0.3">
      <c r="A4" s="3" t="s">
        <v>6</v>
      </c>
      <c r="B4" s="4">
        <v>6</v>
      </c>
    </row>
    <row r="5" spans="1:2" x14ac:dyDescent="0.3">
      <c r="A5" s="3" t="s">
        <v>9</v>
      </c>
      <c r="B5" s="4">
        <v>5</v>
      </c>
    </row>
    <row r="6" spans="1:2" x14ac:dyDescent="0.3">
      <c r="A6" s="3" t="s">
        <v>12</v>
      </c>
      <c r="B6" s="4">
        <v>4</v>
      </c>
    </row>
    <row r="7" spans="1:2" x14ac:dyDescent="0.3">
      <c r="A7" s="3" t="s">
        <v>17</v>
      </c>
      <c r="B7" s="4">
        <v>3</v>
      </c>
    </row>
    <row r="8" spans="1:2" x14ac:dyDescent="0.3">
      <c r="A8" s="3" t="s">
        <v>24</v>
      </c>
      <c r="B8" s="4">
        <v>2</v>
      </c>
    </row>
    <row r="9" spans="1:2" x14ac:dyDescent="0.3">
      <c r="A9" s="3" t="s">
        <v>76</v>
      </c>
      <c r="B9" s="4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45DD-A453-425A-9534-7CD24C1471A7}">
  <dimension ref="A1:B6"/>
  <sheetViews>
    <sheetView tabSelected="1" zoomScaleNormal="100" workbookViewId="0">
      <selection activeCell="F9" sqref="F9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1" spans="1:2" x14ac:dyDescent="0.3">
      <c r="A1" s="2" t="s">
        <v>74</v>
      </c>
      <c r="B1" t="s">
        <v>78</v>
      </c>
    </row>
    <row r="3" spans="1:2" x14ac:dyDescent="0.3">
      <c r="A3" s="2" t="s">
        <v>75</v>
      </c>
      <c r="B3" t="s">
        <v>77</v>
      </c>
    </row>
    <row r="4" spans="1:2" x14ac:dyDescent="0.3">
      <c r="A4" s="3" t="s">
        <v>6</v>
      </c>
      <c r="B4" s="4">
        <v>1</v>
      </c>
    </row>
    <row r="5" spans="1:2" x14ac:dyDescent="0.3">
      <c r="A5" s="3" t="s">
        <v>9</v>
      </c>
      <c r="B5" s="4">
        <v>1</v>
      </c>
    </row>
    <row r="6" spans="1:2" x14ac:dyDescent="0.3">
      <c r="A6" s="3" t="s">
        <v>76</v>
      </c>
      <c r="B6" s="4">
        <v>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ticket</vt:lpstr>
      <vt:lpstr>feedbacks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akhilesh addepalli</cp:lastModifiedBy>
  <dcterms:created xsi:type="dcterms:W3CDTF">2025-12-02T16:22:11Z</dcterms:created>
  <dcterms:modified xsi:type="dcterms:W3CDTF">2025-12-02T17:41:38Z</dcterms:modified>
</cp:coreProperties>
</file>